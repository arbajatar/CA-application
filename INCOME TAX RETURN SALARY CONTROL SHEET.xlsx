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mppbserver\MPPB CA\ITR SOFTWARE\Samiya\"/>
    </mc:Choice>
  </mc:AlternateContent>
  <bookViews>
    <workbookView xWindow="-105" yWindow="-105" windowWidth="19425" windowHeight="11505"/>
  </bookViews>
  <sheets>
    <sheet name="01. DAILY ITR CONTROL SHEET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9" i="1" l="1"/>
  <c r="AY9" i="1" l="1"/>
  <c r="AE9" i="1"/>
</calcChain>
</file>

<file path=xl/sharedStrings.xml><?xml version="1.0" encoding="utf-8"?>
<sst xmlns="http://schemas.openxmlformats.org/spreadsheetml/2006/main" count="194" uniqueCount="143">
  <si>
    <t>MODULE-01</t>
  </si>
  <si>
    <t xml:space="preserve">INCOME TAX RETURN DAILY CONTROL SHEET </t>
  </si>
  <si>
    <t>NUMBERS SHOULD BE DISPLAYED</t>
  </si>
  <si>
    <t>TOTAL DOCUMENT RECEIVED</t>
  </si>
  <si>
    <t>SR No</t>
  </si>
  <si>
    <t xml:space="preserve">Date Of Receipt of Documents </t>
  </si>
  <si>
    <t xml:space="preserve">PAN NO </t>
  </si>
  <si>
    <t>ITR CASE</t>
  </si>
  <si>
    <t xml:space="preserve">FEES QUOTED </t>
  </si>
  <si>
    <t>CATEGOREY - A | B | C</t>
  </si>
  <si>
    <t>SOURCE  OF CLIENT</t>
  </si>
  <si>
    <t>REFERENCE</t>
  </si>
  <si>
    <t>SOURCE OF DOCUMENT</t>
  </si>
  <si>
    <t>TEAM MEMBER</t>
  </si>
  <si>
    <t>MOBILE NO</t>
  </si>
  <si>
    <t>EMAIL ID</t>
  </si>
  <si>
    <t xml:space="preserve">PR ACTIVE CLIENT </t>
  </si>
  <si>
    <t>PR ACTIVE PASSWORD</t>
  </si>
  <si>
    <t xml:space="preserve">PR ACTIVE TASK CREATION </t>
  </si>
  <si>
    <t xml:space="preserve">MOBILE NO WE ARE USING FOR CLIENT  COMMUNICATION </t>
  </si>
  <si>
    <t>LIST OF DOCUMENT RECEIVED</t>
  </si>
  <si>
    <t xml:space="preserve">DOCUMENT PENDING IF ANY </t>
  </si>
  <si>
    <t>NAME OF COMPANY</t>
  </si>
  <si>
    <t>USER ID  (PAN NO)</t>
  </si>
  <si>
    <t xml:space="preserve">PASSWORD </t>
  </si>
  <si>
    <t>26AS &amp; AIS &amp; TIS IS DOWNLOADED</t>
  </si>
  <si>
    <t>SALARY</t>
  </si>
  <si>
    <t>ADDITIONAL SOURCE OF INCOME</t>
  </si>
  <si>
    <t>TDS</t>
  </si>
  <si>
    <t>(Net tax payable)/               as per FORM16 Calculation</t>
  </si>
  <si>
    <t>REASON FOR ADDITIONAL TAX</t>
  </si>
  <si>
    <t>Refund Amount/(TAX PAID)</t>
  </si>
  <si>
    <t>TOTAL BENEFITS (Formula Should be there)</t>
  </si>
  <si>
    <t xml:space="preserve">FINAL ITR STATUS </t>
  </si>
  <si>
    <t xml:space="preserve">SUB STATUS </t>
  </si>
  <si>
    <t xml:space="preserve">E-VERIFICATION OF ITR </t>
  </si>
  <si>
    <t>TYPE OF ITR FILED</t>
  </si>
  <si>
    <t xml:space="preserve">DATE OF FILING OF ITR </t>
  </si>
  <si>
    <t>FINAL FOLDER CREATED</t>
  </si>
  <si>
    <t>DOCUMENT UPLOADED ON PR ACTIVE</t>
  </si>
  <si>
    <t>INVOICE  CREATED ON PR ACTIVE YES OR NO</t>
  </si>
  <si>
    <t xml:space="preserve">BILL : CALCULATION </t>
  </si>
  <si>
    <t>BILL NO</t>
  </si>
  <si>
    <t xml:space="preserve">BILL AMOUNT </t>
  </si>
  <si>
    <t>INVOICE SENT TO CLIENT</t>
  </si>
  <si>
    <t xml:space="preserve">DATE OF SENDING TO CLIENT </t>
  </si>
  <si>
    <t>STATUS</t>
  </si>
  <si>
    <t>Date of ITR STATUS VERIFIACTION</t>
  </si>
  <si>
    <t xml:space="preserve">STATUS  ITR PROCESSING </t>
  </si>
  <si>
    <t>VARIFICATION DONE  BY</t>
  </si>
  <si>
    <t>DATE OF RECEIPT OF REFUND</t>
  </si>
  <si>
    <t>AMOUNT OF REFUND</t>
  </si>
  <si>
    <t>IMP REMARK</t>
  </si>
  <si>
    <t>01.05.2026</t>
  </si>
  <si>
    <t>MAHESH PURUSHOTTAM BHUTADA</t>
  </si>
  <si>
    <t>BIBPB1899L</t>
  </si>
  <si>
    <t>SALARY-1 FORM 16</t>
  </si>
  <si>
    <t>SLAB - 5/10%</t>
  </si>
  <si>
    <t>CAT-A</t>
  </si>
  <si>
    <t>MPPB- OLD</t>
  </si>
  <si>
    <t>OLD -2026</t>
  </si>
  <si>
    <t>EMAIL</t>
  </si>
  <si>
    <t>CS MANISH SINHA</t>
  </si>
  <si>
    <t>camaheshbhutada@gmail.com</t>
  </si>
  <si>
    <t>YES - CLIENT IS CREATED</t>
  </si>
  <si>
    <t xml:space="preserve">YES -ACTIVE </t>
  </si>
  <si>
    <t>ITR NEW SALARY 2026-27</t>
  </si>
  <si>
    <t xml:space="preserve">A CHECK BOX WILL SHOULD BE THERE** AND LIST WILL GET ADDED BACK </t>
  </si>
  <si>
    <t>PERSON WILL PUT MANNUALLY ***</t>
  </si>
  <si>
    <t>RELIANCE INDUSTRIES LIMITED</t>
  </si>
  <si>
    <t>YES- DOWNLOADED</t>
  </si>
  <si>
    <t>CAPITAL GAIN+ FIXED DEPOSIT</t>
  </si>
  <si>
    <t>NEW TAX REGIME+ ADDITIONAL SOURCE OF INCOME</t>
  </si>
  <si>
    <t xml:space="preserve">PENDING </t>
  </si>
  <si>
    <t xml:space="preserve">AS PER FORM 16 DONE </t>
  </si>
  <si>
    <t>YES - COMPLETED</t>
  </si>
  <si>
    <t>ITR-1</t>
  </si>
  <si>
    <t>01.04.2026</t>
  </si>
  <si>
    <t>YES - CREATED</t>
  </si>
  <si>
    <t>YES- UPLOADED</t>
  </si>
  <si>
    <t>YES</t>
  </si>
  <si>
    <t>351000*10%</t>
  </si>
  <si>
    <t>2027/01</t>
  </si>
  <si>
    <t>05.05.2026</t>
  </si>
  <si>
    <t xml:space="preserve">PENDING FOR PAYMENT </t>
  </si>
  <si>
    <t>05.04.2026</t>
  </si>
  <si>
    <t xml:space="preserve">ITR PROCESSED SUCESSFULLY </t>
  </si>
  <si>
    <t>03.04.2026</t>
  </si>
  <si>
    <t>SALARY-1 FORM 16+ OTHER INCOME</t>
  </si>
  <si>
    <t>NEW-2027 REFERENCE</t>
  </si>
  <si>
    <t>WHATSAPP- MAHESH SIR</t>
  </si>
  <si>
    <t xml:space="preserve">NO- PENDING </t>
  </si>
  <si>
    <t xml:space="preserve">NO- INVALID </t>
  </si>
  <si>
    <t>ITR-2</t>
  </si>
  <si>
    <t>SALARY-2 FORM 16</t>
  </si>
  <si>
    <t>ADVERTISE</t>
  </si>
  <si>
    <t>WHATSAPP- GROUP</t>
  </si>
  <si>
    <t>NO- PASSWORD NOT AVAILABLE</t>
  </si>
  <si>
    <t>ITR-3</t>
  </si>
  <si>
    <t>SALARY-2 FORM 16+ OTHER INCOME</t>
  </si>
  <si>
    <t>ITR-4</t>
  </si>
  <si>
    <t>OTHER THAN SALARY</t>
  </si>
  <si>
    <t>DROP DOWN</t>
  </si>
  <si>
    <t>TEXT</t>
  </si>
  <si>
    <t>NAME OF CLEINT (As per PR Active)/ (As per PAN)</t>
  </si>
  <si>
    <t>CAT-B</t>
  </si>
  <si>
    <t>CAT-C</t>
  </si>
  <si>
    <t>ITR SALARY ABOVE 24+</t>
  </si>
  <si>
    <t>ITR SALARY UPTO 24L</t>
  </si>
  <si>
    <t xml:space="preserve">EMAIL </t>
  </si>
  <si>
    <t xml:space="preserve">WHATSAPP- OFFICE NO </t>
  </si>
  <si>
    <t>Whether Drop Down is needed is Software Develoepr choice**</t>
  </si>
  <si>
    <t>NO- CLIENT IS NOT PROVIDING</t>
  </si>
  <si>
    <t>TICKING OF OPTION TO BE PROVIDED</t>
  </si>
  <si>
    <t>BLUE- 7276060217</t>
  </si>
  <si>
    <t>MAHESH SIR- 9270200217</t>
  </si>
  <si>
    <t>SKY BLUE -9588656472</t>
  </si>
  <si>
    <t>GREY- 9975460217</t>
  </si>
  <si>
    <t>PINK- 9523479523</t>
  </si>
  <si>
    <t xml:space="preserve">TEXT </t>
  </si>
  <si>
    <t>COMPLETED</t>
  </si>
  <si>
    <t>PENDING</t>
  </si>
  <si>
    <t>NOT TO BE DONE</t>
  </si>
  <si>
    <t>TOTAL COMPLETED</t>
  </si>
  <si>
    <t>TOTAL PENDING</t>
  </si>
  <si>
    <t>TOTAL NOT TO BE DONE</t>
  </si>
  <si>
    <t>We need Count in Upper Box &amp; if we click on Box, List of those client should be Displayed</t>
  </si>
  <si>
    <t>AS PER FORM 16 DONE</t>
  </si>
  <si>
    <t>PENDING FOR WORKING</t>
  </si>
  <si>
    <t>SENIOR CHECKING PENDING</t>
  </si>
  <si>
    <t>NOT RESPONDING TO CALLS &amp; MESSAGES</t>
  </si>
  <si>
    <t>CLIENT CONFIRMATION PENDING</t>
  </si>
  <si>
    <t>PENDING FOR DOCUMENTS</t>
  </si>
  <si>
    <t>PENDING FOR UPLOADING</t>
  </si>
  <si>
    <t>Calender to be Provided to Choose the Date</t>
  </si>
  <si>
    <t>YES- CREATED</t>
  </si>
  <si>
    <t>NO- PENDING</t>
  </si>
  <si>
    <t>PASSWORD CHANGED</t>
  </si>
  <si>
    <t>NIL ITR PROCESS</t>
  </si>
  <si>
    <t xml:space="preserve">REFUND ISSUE </t>
  </si>
  <si>
    <t xml:space="preserve">PENDING FOR REFUND </t>
  </si>
  <si>
    <t xml:space="preserve">TEAM REMARK </t>
  </si>
  <si>
    <t xml:space="preserve">MPPB-OLD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</si>
</sst>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\-#,##0.00_ ;_ * &quot;-&quot;??_ ;_ @_ "/>
    <numFmt numFmtId="165" formatCode="_ * #,##0_ ;_ * \-#,##0_ ;_ * &quot;-&quot;??_ ;_ @_ "/>
    <numFmt numFmtId="166" formatCode="_(* #,##0_);_(* \(#,##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2"/>
      <color theme="1"/>
      <name val="Cambria"/>
      <family val="1"/>
    </font>
    <font>
      <b/>
      <sz val="12"/>
      <color theme="1"/>
      <name val="Cambria"/>
      <family val="1"/>
    </font>
    <font>
      <b/>
      <sz val="10"/>
      <color theme="1"/>
      <name val="Cambria"/>
      <family val="1"/>
    </font>
    <font>
      <sz val="10"/>
      <color theme="1"/>
      <name val="Cambria"/>
      <family val="1"/>
    </font>
    <font>
      <u/>
      <sz val="10"/>
      <color theme="10"/>
      <name val="Calibri"/>
      <family val="2"/>
      <scheme val="minor"/>
    </font>
    <font>
      <u/>
      <sz val="10"/>
      <color rgb="FFFF0000"/>
      <name val="Calibri"/>
      <family val="2"/>
      <scheme val="minor"/>
    </font>
    <font>
      <b/>
      <sz val="12"/>
      <color rgb="FFFF0000"/>
      <name val="Cambria"/>
      <family val="1"/>
    </font>
    <font>
      <sz val="12"/>
      <color rgb="FFFF0000"/>
      <name val="Cambria"/>
      <family val="1"/>
    </font>
    <font>
      <b/>
      <i/>
      <sz val="8"/>
      <color rgb="FFFF0000"/>
      <name val="Cambria"/>
      <family val="1"/>
    </font>
    <font>
      <sz val="10"/>
      <color rgb="FFFF0000"/>
      <name val="Cambria"/>
      <family val="1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BDD6EE"/>
      </patternFill>
    </fill>
    <fill>
      <patternFill patternType="solid">
        <fgColor theme="8" tint="0.79998168889431442"/>
        <bgColor rgb="FFBDD6EE"/>
      </patternFill>
    </fill>
    <fill>
      <patternFill patternType="solid">
        <fgColor theme="8" tint="0.79998168889431442"/>
        <bgColor rgb="FFFEF2CB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FBE4D5"/>
      </patternFill>
    </fill>
    <fill>
      <patternFill patternType="solid">
        <fgColor theme="8" tint="0.79998168889431442"/>
        <bgColor rgb="FFF7CAAC"/>
      </patternFill>
    </fill>
    <fill>
      <patternFill patternType="solid">
        <fgColor theme="7" tint="0.39997558519241921"/>
        <bgColor rgb="FFBDD6EE"/>
      </patternFill>
    </fill>
    <fill>
      <patternFill patternType="solid">
        <fgColor theme="7" tint="0.39997558519241921"/>
        <bgColor rgb="FFFEF2CB"/>
      </patternFill>
    </fill>
    <fill>
      <patternFill patternType="solid">
        <fgColor theme="5" tint="0.39997558519241921"/>
        <bgColor rgb="FFBDD6EE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86">
    <xf numFmtId="0" fontId="0" fillId="0" borderId="0" xfId="0"/>
    <xf numFmtId="0" fontId="3" fillId="2" borderId="1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wrapText="1"/>
    </xf>
    <xf numFmtId="0" fontId="4" fillId="2" borderId="3" xfId="0" applyFont="1" applyFill="1" applyBorder="1"/>
    <xf numFmtId="0" fontId="5" fillId="0" borderId="0" xfId="0" applyFont="1" applyAlignment="1">
      <alignment wrapText="1"/>
    </xf>
    <xf numFmtId="0" fontId="5" fillId="0" borderId="0" xfId="0" applyFont="1"/>
    <xf numFmtId="0" fontId="5" fillId="0" borderId="0" xfId="0" applyFont="1" applyAlignment="1">
      <alignment vertical="center"/>
    </xf>
    <xf numFmtId="164" fontId="5" fillId="0" borderId="0" xfId="1" applyFont="1"/>
    <xf numFmtId="0" fontId="3" fillId="0" borderId="0" xfId="0" applyFont="1"/>
    <xf numFmtId="0" fontId="6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165" fontId="7" fillId="3" borderId="4" xfId="1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 wrapText="1"/>
    </xf>
    <xf numFmtId="165" fontId="6" fillId="0" borderId="0" xfId="1" applyNumberFormat="1" applyFont="1" applyFill="1" applyBorder="1" applyAlignment="1">
      <alignment horizontal="center" vertical="center" wrapText="1"/>
    </xf>
    <xf numFmtId="164" fontId="6" fillId="0" borderId="0" xfId="1" applyFont="1" applyFill="1" applyBorder="1" applyAlignment="1">
      <alignment horizontal="center" vertical="center" wrapText="1"/>
    </xf>
    <xf numFmtId="166" fontId="6" fillId="0" borderId="0" xfId="1" applyNumberFormat="1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9" fillId="0" borderId="4" xfId="2" applyFont="1" applyBorder="1" applyAlignment="1">
      <alignment horizontal="center" vertical="center"/>
    </xf>
    <xf numFmtId="0" fontId="9" fillId="0" borderId="4" xfId="2" applyFont="1" applyBorder="1" applyAlignment="1">
      <alignment horizontal="center" vertical="center" wrapText="1"/>
    </xf>
    <xf numFmtId="0" fontId="10" fillId="0" borderId="4" xfId="2" applyFont="1" applyBorder="1" applyAlignment="1">
      <alignment horizontal="center" vertical="center" wrapText="1"/>
    </xf>
    <xf numFmtId="165" fontId="8" fillId="0" borderId="4" xfId="1" applyNumberFormat="1" applyFont="1" applyBorder="1" applyAlignment="1">
      <alignment horizontal="center" vertical="center"/>
    </xf>
    <xf numFmtId="165" fontId="8" fillId="0" borderId="4" xfId="1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64" fontId="8" fillId="0" borderId="4" xfId="1" applyFont="1" applyBorder="1" applyAlignment="1">
      <alignment horizontal="center" vertical="center"/>
    </xf>
    <xf numFmtId="165" fontId="8" fillId="0" borderId="4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/>
    <xf numFmtId="0" fontId="5" fillId="0" borderId="0" xfId="0" applyFont="1" applyBorder="1"/>
    <xf numFmtId="0" fontId="4" fillId="2" borderId="0" xfId="0" applyFont="1" applyFill="1" applyBorder="1"/>
    <xf numFmtId="0" fontId="6" fillId="0" borderId="0" xfId="0" applyFont="1" applyAlignment="1">
      <alignment wrapText="1"/>
    </xf>
    <xf numFmtId="164" fontId="5" fillId="0" borderId="0" xfId="1" applyFont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 wrapText="1"/>
    </xf>
    <xf numFmtId="0" fontId="9" fillId="0" borderId="0" xfId="2" applyFont="1" applyBorder="1" applyAlignment="1">
      <alignment horizontal="center" vertical="center"/>
    </xf>
    <xf numFmtId="0" fontId="9" fillId="0" borderId="0" xfId="2" applyFont="1" applyBorder="1" applyAlignment="1">
      <alignment horizontal="center" vertical="center" wrapText="1"/>
    </xf>
    <xf numFmtId="0" fontId="10" fillId="0" borderId="0" xfId="2" applyFont="1" applyBorder="1" applyAlignment="1">
      <alignment horizontal="center" vertical="center" wrapText="1"/>
    </xf>
    <xf numFmtId="165" fontId="8" fillId="0" borderId="0" xfId="1" applyNumberFormat="1" applyFont="1" applyBorder="1" applyAlignment="1">
      <alignment horizontal="center" vertical="center"/>
    </xf>
    <xf numFmtId="165" fontId="8" fillId="0" borderId="0" xfId="1" applyNumberFormat="1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164" fontId="8" fillId="0" borderId="0" xfId="1" applyFont="1" applyBorder="1" applyAlignment="1">
      <alignment horizontal="center" vertical="center"/>
    </xf>
    <xf numFmtId="165" fontId="8" fillId="0" borderId="0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/>
    </xf>
    <xf numFmtId="164" fontId="7" fillId="5" borderId="4" xfId="0" applyNumberFormat="1" applyFont="1" applyFill="1" applyBorder="1" applyAlignment="1">
      <alignment horizontal="center" vertical="center" wrapText="1"/>
    </xf>
    <xf numFmtId="165" fontId="7" fillId="4" borderId="4" xfId="1" applyNumberFormat="1" applyFont="1" applyFill="1" applyBorder="1" applyAlignment="1">
      <alignment horizontal="center" vertical="center" wrapText="1"/>
    </xf>
    <xf numFmtId="164" fontId="8" fillId="6" borderId="4" xfId="1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164" fontId="7" fillId="4" borderId="4" xfId="1" applyFont="1" applyFill="1" applyBorder="1" applyAlignment="1">
      <alignment horizontal="center" vertical="center" wrapText="1"/>
    </xf>
    <xf numFmtId="0" fontId="7" fillId="8" borderId="4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166" fontId="7" fillId="6" borderId="4" xfId="1" applyNumberFormat="1" applyFont="1" applyFill="1" applyBorder="1" applyAlignment="1">
      <alignment horizontal="center" vertical="center" wrapText="1"/>
    </xf>
    <xf numFmtId="0" fontId="7" fillId="9" borderId="4" xfId="0" applyFont="1" applyFill="1" applyBorder="1" applyAlignment="1">
      <alignment horizontal="center" vertical="center" wrapText="1"/>
    </xf>
    <xf numFmtId="0" fontId="12" fillId="0" borderId="0" xfId="0" applyFont="1"/>
    <xf numFmtId="0" fontId="7" fillId="10" borderId="4" xfId="0" applyFont="1" applyFill="1" applyBorder="1" applyAlignment="1">
      <alignment horizontal="center" vertical="center" wrapText="1"/>
    </xf>
    <xf numFmtId="0" fontId="5" fillId="2" borderId="5" xfId="0" applyFont="1" applyFill="1" applyBorder="1"/>
    <xf numFmtId="0" fontId="8" fillId="0" borderId="0" xfId="0" applyFont="1" applyBorder="1" applyAlignment="1">
      <alignment horizontal="left" vertical="center"/>
    </xf>
    <xf numFmtId="0" fontId="8" fillId="0" borderId="0" xfId="0" applyFont="1" applyAlignment="1">
      <alignment horizontal="left"/>
    </xf>
    <xf numFmtId="165" fontId="7" fillId="11" borderId="4" xfId="1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7" fillId="11" borderId="4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/>
    </xf>
    <xf numFmtId="0" fontId="13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center" wrapText="1"/>
    </xf>
    <xf numFmtId="0" fontId="9" fillId="0" borderId="0" xfId="2" applyFont="1" applyBorder="1" applyAlignment="1">
      <alignment horizontal="left" vertical="center"/>
    </xf>
    <xf numFmtId="0" fontId="9" fillId="0" borderId="0" xfId="2" applyFont="1" applyBorder="1" applyAlignment="1">
      <alignment horizontal="left" vertical="center" wrapText="1"/>
    </xf>
    <xf numFmtId="0" fontId="10" fillId="0" borderId="0" xfId="2" applyFont="1" applyBorder="1" applyAlignment="1">
      <alignment horizontal="left" vertical="center" wrapText="1"/>
    </xf>
    <xf numFmtId="165" fontId="8" fillId="0" borderId="0" xfId="1" applyNumberFormat="1" applyFont="1" applyBorder="1" applyAlignment="1">
      <alignment horizontal="left" vertical="center"/>
    </xf>
    <xf numFmtId="165" fontId="8" fillId="0" borderId="0" xfId="1" applyNumberFormat="1" applyFont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164" fontId="8" fillId="0" borderId="0" xfId="1" applyFont="1" applyBorder="1" applyAlignment="1">
      <alignment horizontal="left" vertical="center"/>
    </xf>
    <xf numFmtId="165" fontId="8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wrapText="1"/>
    </xf>
    <xf numFmtId="0" fontId="8" fillId="0" borderId="0" xfId="0" applyFont="1" applyBorder="1" applyAlignment="1">
      <alignment horizontal="left"/>
    </xf>
    <xf numFmtId="0" fontId="8" fillId="2" borderId="0" xfId="0" applyFont="1" applyFill="1" applyBorder="1" applyAlignment="1">
      <alignment horizontal="left"/>
    </xf>
    <xf numFmtId="164" fontId="8" fillId="0" borderId="0" xfId="1" applyFont="1" applyBorder="1" applyAlignment="1">
      <alignment horizontal="left"/>
    </xf>
    <xf numFmtId="0" fontId="13" fillId="0" borderId="6" xfId="0" applyFont="1" applyBorder="1" applyAlignment="1">
      <alignment horizontal="center" vertical="center" wrapText="1"/>
    </xf>
    <xf numFmtId="0" fontId="8" fillId="0" borderId="0" xfId="0" applyFont="1" applyFill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24848</xdr:colOff>
      <xdr:row>13</xdr:row>
      <xdr:rowOff>33131</xdr:rowOff>
    </xdr:from>
    <xdr:to>
      <xdr:col>17</xdr:col>
      <xdr:colOff>182217</xdr:colOff>
      <xdr:row>13</xdr:row>
      <xdr:rowOff>140805</xdr:rowOff>
    </xdr:to>
    <xdr:sp macro="" textlink="">
      <xdr:nvSpPr>
        <xdr:cNvPr id="2" name="Rectangle 1"/>
        <xdr:cNvSpPr/>
      </xdr:nvSpPr>
      <xdr:spPr>
        <a:xfrm>
          <a:off x="19671196" y="3478696"/>
          <a:ext cx="157369" cy="10767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33131</xdr:colOff>
      <xdr:row>14</xdr:row>
      <xdr:rowOff>49696</xdr:rowOff>
    </xdr:from>
    <xdr:to>
      <xdr:col>17</xdr:col>
      <xdr:colOff>190500</xdr:colOff>
      <xdr:row>14</xdr:row>
      <xdr:rowOff>157370</xdr:rowOff>
    </xdr:to>
    <xdr:sp macro="" textlink="">
      <xdr:nvSpPr>
        <xdr:cNvPr id="3" name="Rectangle 2"/>
        <xdr:cNvSpPr/>
      </xdr:nvSpPr>
      <xdr:spPr>
        <a:xfrm>
          <a:off x="19679479" y="3660913"/>
          <a:ext cx="157369" cy="10767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33131</xdr:colOff>
      <xdr:row>15</xdr:row>
      <xdr:rowOff>82826</xdr:rowOff>
    </xdr:from>
    <xdr:to>
      <xdr:col>17</xdr:col>
      <xdr:colOff>190500</xdr:colOff>
      <xdr:row>15</xdr:row>
      <xdr:rowOff>190500</xdr:rowOff>
    </xdr:to>
    <xdr:sp macro="" textlink="">
      <xdr:nvSpPr>
        <xdr:cNvPr id="4" name="Rectangle 3"/>
        <xdr:cNvSpPr/>
      </xdr:nvSpPr>
      <xdr:spPr>
        <a:xfrm>
          <a:off x="19679479" y="3859696"/>
          <a:ext cx="157369" cy="10767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41413</xdr:colOff>
      <xdr:row>16</xdr:row>
      <xdr:rowOff>49696</xdr:rowOff>
    </xdr:from>
    <xdr:to>
      <xdr:col>17</xdr:col>
      <xdr:colOff>198782</xdr:colOff>
      <xdr:row>16</xdr:row>
      <xdr:rowOff>157370</xdr:rowOff>
    </xdr:to>
    <xdr:sp macro="" textlink="">
      <xdr:nvSpPr>
        <xdr:cNvPr id="5" name="Rectangle 4"/>
        <xdr:cNvSpPr/>
      </xdr:nvSpPr>
      <xdr:spPr>
        <a:xfrm>
          <a:off x="19687761" y="4472609"/>
          <a:ext cx="157369" cy="10767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maheshbhutad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0"/>
  <sheetViews>
    <sheetView tabSelected="1" topLeftCell="V1" zoomScale="85" zoomScaleNormal="85" workbookViewId="0">
      <selection activeCell="AG20" sqref="AG20"/>
    </sheetView>
  </sheetViews>
  <sheetFormatPr defaultColWidth="8.7109375" defaultRowHeight="15.75" x14ac:dyDescent="0.25"/>
  <cols>
    <col min="1" max="1" width="7" style="6" customWidth="1"/>
    <col min="2" max="2" width="13.140625" style="6" customWidth="1"/>
    <col min="3" max="3" width="24.85546875" style="5" customWidth="1"/>
    <col min="4" max="5" width="13.85546875" style="6" customWidth="1"/>
    <col min="6" max="6" width="25.28515625" style="5" customWidth="1"/>
    <col min="7" max="7" width="15.140625" style="6" bestFit="1" customWidth="1"/>
    <col min="8" max="8" width="11.42578125" style="6" customWidth="1"/>
    <col min="9" max="9" width="23.5703125" style="5" customWidth="1"/>
    <col min="10" max="10" width="19.85546875" style="6" customWidth="1"/>
    <col min="11" max="11" width="19.42578125" style="6" customWidth="1"/>
    <col min="12" max="12" width="21.7109375" style="6" customWidth="1"/>
    <col min="13" max="13" width="14.5703125" style="6" customWidth="1"/>
    <col min="14" max="14" width="23.140625" style="6" customWidth="1"/>
    <col min="15" max="15" width="14.85546875" style="5" customWidth="1"/>
    <col min="16" max="16" width="14.140625" style="5" customWidth="1"/>
    <col min="17" max="17" width="18.5703125" style="7" customWidth="1"/>
    <col min="18" max="18" width="20.5703125" style="6" customWidth="1"/>
    <col min="19" max="19" width="16.85546875" style="6" customWidth="1"/>
    <col min="20" max="20" width="16.42578125" style="6" customWidth="1"/>
    <col min="21" max="21" width="9.85546875" style="6" customWidth="1"/>
    <col min="22" max="22" width="12.5703125" style="6" bestFit="1" customWidth="1"/>
    <col min="23" max="23" width="12.5703125" style="6" customWidth="1"/>
    <col min="24" max="24" width="11.140625" style="6" bestFit="1" customWidth="1"/>
    <col min="25" max="25" width="13.7109375" style="6" customWidth="1"/>
    <col min="26" max="26" width="11.5703125" style="6" bestFit="1" customWidth="1"/>
    <col min="27" max="27" width="11.7109375" style="6" bestFit="1" customWidth="1"/>
    <col min="28" max="28" width="11.7109375" style="6" customWidth="1"/>
    <col min="29" max="29" width="20.5703125" style="5" bestFit="1" customWidth="1"/>
    <col min="30" max="30" width="13.140625" style="6" bestFit="1" customWidth="1"/>
    <col min="31" max="31" width="10.85546875" style="6" bestFit="1" customWidth="1"/>
    <col min="32" max="32" width="12.42578125" style="6" bestFit="1" customWidth="1"/>
    <col min="33" max="34" width="31.5703125" style="6" customWidth="1"/>
    <col min="35" max="35" width="18.85546875" style="6" customWidth="1"/>
    <col min="36" max="36" width="10.85546875" style="6" bestFit="1" customWidth="1"/>
    <col min="37" max="37" width="11.42578125" style="6" bestFit="1" customWidth="1"/>
    <col min="38" max="38" width="10.5703125" style="6" bestFit="1" customWidth="1"/>
    <col min="39" max="39" width="13.28515625" style="6" customWidth="1"/>
    <col min="40" max="40" width="15.28515625" style="6" customWidth="1"/>
    <col min="41" max="41" width="8.7109375" style="6"/>
    <col min="42" max="42" width="15.85546875" style="6" customWidth="1"/>
    <col min="43" max="43" width="9.85546875" style="8" customWidth="1"/>
    <col min="44" max="44" width="9.85546875" style="6" customWidth="1"/>
    <col min="45" max="45" width="15.42578125" style="6" customWidth="1"/>
    <col min="46" max="46" width="20.5703125" style="6" customWidth="1"/>
    <col min="47" max="47" width="10.42578125" style="6" customWidth="1"/>
    <col min="48" max="48" width="25.85546875" style="6" customWidth="1"/>
    <col min="49" max="49" width="12.7109375" style="6" customWidth="1"/>
    <col min="50" max="50" width="11.7109375" style="6" customWidth="1"/>
    <col min="51" max="51" width="10.85546875" style="6" customWidth="1"/>
    <col min="52" max="52" width="18" style="6" customWidth="1"/>
    <col min="53" max="16384" width="8.7109375" style="6"/>
  </cols>
  <sheetData>
    <row r="1" spans="1:54" ht="18" x14ac:dyDescent="0.25">
      <c r="A1" s="1" t="s">
        <v>0</v>
      </c>
      <c r="B1" s="2"/>
      <c r="C1" s="3"/>
      <c r="D1" s="4"/>
      <c r="E1" s="34"/>
    </row>
    <row r="2" spans="1:54" ht="18.75" thickBot="1" x14ac:dyDescent="0.3">
      <c r="A2" s="9" t="s">
        <v>1</v>
      </c>
    </row>
    <row r="3" spans="1:54" ht="16.5" thickBot="1" x14ac:dyDescent="0.3">
      <c r="U3" s="6" t="s">
        <v>123</v>
      </c>
      <c r="W3" s="62"/>
      <c r="Y3" s="6" t="s">
        <v>124</v>
      </c>
      <c r="AA3" s="62"/>
      <c r="AB3" s="33"/>
      <c r="AC3" s="6" t="s">
        <v>125</v>
      </c>
      <c r="AE3" s="62"/>
    </row>
    <row r="4" spans="1:54" ht="32.25" thickBot="1" x14ac:dyDescent="0.3">
      <c r="B4" s="10" t="s">
        <v>2</v>
      </c>
      <c r="F4" s="35" t="s">
        <v>3</v>
      </c>
      <c r="G4" s="62"/>
      <c r="I4" s="5" t="s">
        <v>142</v>
      </c>
      <c r="J4" s="62"/>
      <c r="K4" s="6" t="s">
        <v>89</v>
      </c>
      <c r="L4" s="62"/>
      <c r="M4" s="6" t="s">
        <v>95</v>
      </c>
      <c r="N4" s="62"/>
      <c r="AT4" s="69"/>
    </row>
    <row r="5" spans="1:54" ht="16.5" thickBot="1" x14ac:dyDescent="0.3">
      <c r="B5" s="10"/>
      <c r="U5" s="32" t="s">
        <v>128</v>
      </c>
      <c r="W5" s="62"/>
      <c r="Y5" s="32" t="s">
        <v>129</v>
      </c>
      <c r="AA5" s="62"/>
      <c r="AC5" s="6" t="s">
        <v>131</v>
      </c>
      <c r="AE5" s="62"/>
      <c r="AG5" s="6" t="s">
        <v>130</v>
      </c>
      <c r="AJ5" s="62"/>
      <c r="AK5" s="32" t="s">
        <v>133</v>
      </c>
      <c r="AM5" s="62"/>
      <c r="AP5" s="68" t="s">
        <v>138</v>
      </c>
      <c r="AQ5" s="62"/>
      <c r="AS5" s="68" t="s">
        <v>137</v>
      </c>
      <c r="AT5" s="62"/>
      <c r="AV5" s="64" t="s">
        <v>139</v>
      </c>
      <c r="AW5" s="62"/>
      <c r="AX5" s="64" t="s">
        <v>140</v>
      </c>
      <c r="AY5" s="62"/>
    </row>
    <row r="6" spans="1:54" s="11" customFormat="1" ht="51" x14ac:dyDescent="0.25">
      <c r="B6" s="66" t="s">
        <v>134</v>
      </c>
      <c r="C6" s="11" t="s">
        <v>103</v>
      </c>
      <c r="D6" s="11" t="s">
        <v>103</v>
      </c>
      <c r="E6" s="11" t="s">
        <v>103</v>
      </c>
      <c r="F6" s="47" t="s">
        <v>102</v>
      </c>
      <c r="G6" s="11" t="s">
        <v>103</v>
      </c>
      <c r="H6" s="47" t="s">
        <v>102</v>
      </c>
      <c r="I6" s="47" t="s">
        <v>102</v>
      </c>
      <c r="J6" s="47" t="s">
        <v>102</v>
      </c>
      <c r="K6" s="11" t="s">
        <v>103</v>
      </c>
      <c r="L6" s="47" t="s">
        <v>102</v>
      </c>
      <c r="M6" s="60" t="s">
        <v>111</v>
      </c>
      <c r="N6" s="11" t="s">
        <v>103</v>
      </c>
      <c r="O6" s="47" t="s">
        <v>102</v>
      </c>
      <c r="P6" s="47" t="s">
        <v>102</v>
      </c>
      <c r="Q6" s="47" t="s">
        <v>102</v>
      </c>
      <c r="R6" s="12" t="s">
        <v>113</v>
      </c>
      <c r="T6" s="11" t="s">
        <v>119</v>
      </c>
      <c r="U6" s="11" t="s">
        <v>119</v>
      </c>
      <c r="V6" s="11" t="s">
        <v>119</v>
      </c>
      <c r="W6" s="12" t="s">
        <v>102</v>
      </c>
      <c r="X6" s="11" t="s">
        <v>103</v>
      </c>
      <c r="Y6" s="11" t="s">
        <v>119</v>
      </c>
      <c r="Z6" s="11" t="s">
        <v>119</v>
      </c>
      <c r="AA6" s="11" t="s">
        <v>103</v>
      </c>
      <c r="AC6" s="12" t="s">
        <v>103</v>
      </c>
      <c r="AD6" s="11" t="s">
        <v>119</v>
      </c>
      <c r="AE6" s="11" t="s">
        <v>103</v>
      </c>
      <c r="AF6" s="84" t="s">
        <v>126</v>
      </c>
      <c r="AG6" s="84"/>
      <c r="AH6" s="70" t="s">
        <v>103</v>
      </c>
      <c r="AI6" s="11" t="s">
        <v>102</v>
      </c>
      <c r="AJ6" s="12" t="s">
        <v>102</v>
      </c>
      <c r="AK6" s="66" t="s">
        <v>134</v>
      </c>
      <c r="AL6" s="12" t="s">
        <v>102</v>
      </c>
      <c r="AM6" s="12" t="s">
        <v>102</v>
      </c>
      <c r="AN6" s="12" t="s">
        <v>102</v>
      </c>
      <c r="AQ6" s="36"/>
    </row>
    <row r="7" spans="1:54" s="15" customFormat="1" ht="63.75" x14ac:dyDescent="0.2">
      <c r="A7" s="48" t="s">
        <v>4</v>
      </c>
      <c r="B7" s="48" t="s">
        <v>5</v>
      </c>
      <c r="C7" s="48" t="s">
        <v>104</v>
      </c>
      <c r="D7" s="48" t="s">
        <v>6</v>
      </c>
      <c r="E7" s="49" t="s">
        <v>14</v>
      </c>
      <c r="F7" s="59" t="s">
        <v>7</v>
      </c>
      <c r="G7" s="50" t="s">
        <v>8</v>
      </c>
      <c r="H7" s="59" t="s">
        <v>9</v>
      </c>
      <c r="I7" s="59" t="s">
        <v>18</v>
      </c>
      <c r="J7" s="59" t="s">
        <v>10</v>
      </c>
      <c r="K7" s="48" t="s">
        <v>11</v>
      </c>
      <c r="L7" s="59" t="s">
        <v>12</v>
      </c>
      <c r="M7" s="51" t="s">
        <v>13</v>
      </c>
      <c r="N7" s="49" t="s">
        <v>15</v>
      </c>
      <c r="O7" s="61" t="s">
        <v>16</v>
      </c>
      <c r="P7" s="61" t="s">
        <v>17</v>
      </c>
      <c r="Q7" s="61" t="s">
        <v>19</v>
      </c>
      <c r="R7" s="61" t="s">
        <v>20</v>
      </c>
      <c r="S7" s="49" t="s">
        <v>21</v>
      </c>
      <c r="T7" s="49" t="s">
        <v>22</v>
      </c>
      <c r="U7" s="49" t="s">
        <v>23</v>
      </c>
      <c r="V7" s="49" t="s">
        <v>24</v>
      </c>
      <c r="W7" s="61" t="s">
        <v>25</v>
      </c>
      <c r="X7" s="52" t="s">
        <v>26</v>
      </c>
      <c r="Y7" s="52" t="s">
        <v>27</v>
      </c>
      <c r="Z7" s="52" t="s">
        <v>28</v>
      </c>
      <c r="AA7" s="53" t="s">
        <v>29</v>
      </c>
      <c r="AB7" s="53"/>
      <c r="AC7" s="52" t="s">
        <v>30</v>
      </c>
      <c r="AD7" s="53" t="s">
        <v>31</v>
      </c>
      <c r="AE7" s="52" t="s">
        <v>32</v>
      </c>
      <c r="AF7" s="13" t="s">
        <v>33</v>
      </c>
      <c r="AG7" s="13" t="s">
        <v>34</v>
      </c>
      <c r="AH7" s="13" t="s">
        <v>141</v>
      </c>
      <c r="AI7" s="65" t="s">
        <v>35</v>
      </c>
      <c r="AJ7" s="65" t="s">
        <v>36</v>
      </c>
      <c r="AK7" s="52" t="s">
        <v>37</v>
      </c>
      <c r="AL7" s="65" t="s">
        <v>38</v>
      </c>
      <c r="AM7" s="65" t="s">
        <v>39</v>
      </c>
      <c r="AN7" s="67" t="s">
        <v>40</v>
      </c>
      <c r="AO7" s="48" t="s">
        <v>41</v>
      </c>
      <c r="AP7" s="54" t="s">
        <v>42</v>
      </c>
      <c r="AQ7" s="55" t="s">
        <v>43</v>
      </c>
      <c r="AR7" s="48" t="s">
        <v>44</v>
      </c>
      <c r="AS7" s="56" t="s">
        <v>45</v>
      </c>
      <c r="AT7" s="56" t="s">
        <v>46</v>
      </c>
      <c r="AU7" s="57" t="s">
        <v>47</v>
      </c>
      <c r="AV7" s="57" t="s">
        <v>48</v>
      </c>
      <c r="AW7" s="57" t="s">
        <v>49</v>
      </c>
      <c r="AX7" s="57" t="s">
        <v>50</v>
      </c>
      <c r="AY7" s="58" t="s">
        <v>51</v>
      </c>
      <c r="AZ7" s="54" t="s">
        <v>52</v>
      </c>
      <c r="BA7" s="14"/>
      <c r="BB7" s="14"/>
    </row>
    <row r="8" spans="1:54" s="11" customFormat="1" x14ac:dyDescent="0.25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7"/>
      <c r="N8" s="16"/>
      <c r="O8" s="16"/>
      <c r="P8" s="16"/>
      <c r="Q8" s="16"/>
      <c r="R8" s="16"/>
      <c r="S8" s="16"/>
      <c r="T8" s="16"/>
      <c r="U8" s="16"/>
      <c r="V8" s="16"/>
      <c r="W8" s="16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6"/>
      <c r="AO8" s="16"/>
      <c r="AP8" s="16"/>
      <c r="AQ8" s="19"/>
      <c r="AR8" s="16"/>
      <c r="AS8" s="16"/>
      <c r="AT8" s="16"/>
      <c r="AU8" s="16"/>
      <c r="AV8" s="16"/>
      <c r="AW8" s="16"/>
      <c r="AX8" s="16"/>
      <c r="AY8" s="20"/>
      <c r="AZ8" s="16"/>
      <c r="BA8" s="16"/>
      <c r="BB8" s="16"/>
    </row>
    <row r="9" spans="1:54" s="31" customFormat="1" ht="51" x14ac:dyDescent="0.25">
      <c r="A9" s="21">
        <v>1</v>
      </c>
      <c r="B9" s="21" t="s">
        <v>53</v>
      </c>
      <c r="C9" s="22" t="s">
        <v>54</v>
      </c>
      <c r="D9" s="21" t="s">
        <v>55</v>
      </c>
      <c r="E9" s="21">
        <v>9270200217</v>
      </c>
      <c r="F9" s="22" t="s">
        <v>56</v>
      </c>
      <c r="G9" s="21" t="s">
        <v>57</v>
      </c>
      <c r="H9" s="21" t="s">
        <v>58</v>
      </c>
      <c r="I9" s="22" t="s">
        <v>66</v>
      </c>
      <c r="J9" s="21" t="s">
        <v>59</v>
      </c>
      <c r="K9" s="21" t="s">
        <v>60</v>
      </c>
      <c r="L9" s="21" t="s">
        <v>61</v>
      </c>
      <c r="M9" s="21" t="s">
        <v>62</v>
      </c>
      <c r="N9" s="23" t="s">
        <v>63</v>
      </c>
      <c r="O9" s="24" t="s">
        <v>64</v>
      </c>
      <c r="P9" s="24"/>
      <c r="Q9" s="23">
        <v>7276060217</v>
      </c>
      <c r="R9" s="25" t="s">
        <v>67</v>
      </c>
      <c r="S9" s="25" t="s">
        <v>68</v>
      </c>
      <c r="T9" s="24" t="s">
        <v>69</v>
      </c>
      <c r="U9" s="23" t="str">
        <f>+D9</f>
        <v>BIBPB1899L</v>
      </c>
      <c r="V9" s="23"/>
      <c r="W9" s="23"/>
      <c r="X9" s="26">
        <v>3546000</v>
      </c>
      <c r="Y9" s="27" t="s">
        <v>71</v>
      </c>
      <c r="Z9" s="26">
        <v>4356000</v>
      </c>
      <c r="AA9" s="26">
        <v>125600</v>
      </c>
      <c r="AB9" s="26"/>
      <c r="AC9" s="27" t="s">
        <v>72</v>
      </c>
      <c r="AD9" s="26">
        <v>225600</v>
      </c>
      <c r="AE9" s="26">
        <f>+AA9+AD9</f>
        <v>351200</v>
      </c>
      <c r="AF9" s="21" t="s">
        <v>73</v>
      </c>
      <c r="AG9" s="22"/>
      <c r="AH9" s="22"/>
      <c r="AI9" s="21"/>
      <c r="AJ9" s="21"/>
      <c r="AK9" s="21" t="s">
        <v>77</v>
      </c>
      <c r="AL9" s="21"/>
      <c r="AM9" s="21"/>
      <c r="AN9" s="28"/>
      <c r="AO9" s="28" t="s">
        <v>81</v>
      </c>
      <c r="AP9" s="21" t="s">
        <v>82</v>
      </c>
      <c r="AQ9" s="29">
        <v>35100</v>
      </c>
      <c r="AR9" s="21" t="s">
        <v>80</v>
      </c>
      <c r="AS9" s="21" t="s">
        <v>83</v>
      </c>
      <c r="AT9" s="22" t="s">
        <v>84</v>
      </c>
      <c r="AU9" s="21" t="s">
        <v>85</v>
      </c>
      <c r="AV9" s="21" t="s">
        <v>86</v>
      </c>
      <c r="AW9" s="21" t="s">
        <v>87</v>
      </c>
      <c r="AX9" s="21" t="s">
        <v>87</v>
      </c>
      <c r="AY9" s="30">
        <f>+AD9</f>
        <v>225600</v>
      </c>
      <c r="AZ9" s="21"/>
    </row>
    <row r="10" spans="1:54" s="31" customFormat="1" ht="12.75" x14ac:dyDescent="0.25">
      <c r="A10" s="37"/>
      <c r="B10" s="37"/>
      <c r="C10" s="38"/>
      <c r="D10" s="37"/>
      <c r="E10" s="37"/>
      <c r="F10" s="38"/>
      <c r="G10" s="37"/>
      <c r="H10" s="37"/>
      <c r="I10" s="38"/>
      <c r="J10" s="37"/>
      <c r="K10" s="37"/>
      <c r="L10" s="37"/>
      <c r="M10" s="37"/>
      <c r="N10" s="39"/>
      <c r="O10" s="40"/>
      <c r="P10" s="40"/>
      <c r="Q10" s="39"/>
      <c r="R10" s="41"/>
      <c r="S10" s="41"/>
      <c r="T10" s="40"/>
      <c r="U10" s="39"/>
      <c r="V10" s="39"/>
      <c r="W10" s="39"/>
      <c r="X10" s="42"/>
      <c r="Y10" s="43"/>
      <c r="Z10" s="42"/>
      <c r="AA10" s="42"/>
      <c r="AB10" s="42"/>
      <c r="AC10" s="43"/>
      <c r="AD10" s="42"/>
      <c r="AE10" s="42"/>
      <c r="AF10" s="37"/>
      <c r="AG10" s="38"/>
      <c r="AH10" s="38"/>
      <c r="AI10" s="37"/>
      <c r="AJ10" s="37"/>
      <c r="AK10" s="37"/>
      <c r="AL10" s="37"/>
      <c r="AM10" s="37"/>
      <c r="AN10" s="44"/>
      <c r="AO10" s="44"/>
      <c r="AP10" s="37"/>
      <c r="AQ10" s="45"/>
      <c r="AR10" s="37"/>
      <c r="AS10" s="37"/>
      <c r="AT10" s="38"/>
      <c r="AU10" s="37"/>
      <c r="AV10" s="37"/>
      <c r="AW10" s="37"/>
      <c r="AX10" s="37"/>
      <c r="AY10" s="46"/>
      <c r="AZ10" s="37"/>
    </row>
    <row r="11" spans="1:54" s="31" customFormat="1" ht="12.75" x14ac:dyDescent="0.2">
      <c r="A11" s="37"/>
      <c r="B11" s="37"/>
      <c r="C11" s="38"/>
      <c r="D11" s="37"/>
      <c r="E11" s="37"/>
      <c r="F11" s="38"/>
      <c r="G11" s="37"/>
      <c r="H11" s="37"/>
      <c r="I11" s="15"/>
      <c r="J11" s="37"/>
      <c r="K11" s="37"/>
      <c r="L11" s="37"/>
      <c r="M11" s="37"/>
      <c r="N11" s="39"/>
      <c r="O11" s="40"/>
      <c r="P11" s="40"/>
      <c r="Q11" s="39"/>
      <c r="R11" s="41"/>
      <c r="S11" s="41"/>
      <c r="T11" s="40"/>
      <c r="U11" s="39"/>
      <c r="V11" s="39"/>
      <c r="W11" s="39"/>
      <c r="X11" s="42"/>
      <c r="Y11" s="43"/>
      <c r="Z11" s="42"/>
      <c r="AA11" s="42"/>
      <c r="AB11" s="42"/>
      <c r="AC11" s="43"/>
      <c r="AD11" s="42"/>
      <c r="AE11" s="42"/>
      <c r="AF11" s="37"/>
      <c r="AG11" s="71" t="s">
        <v>74</v>
      </c>
      <c r="AH11" s="38"/>
      <c r="AI11" s="37"/>
      <c r="AJ11" s="37"/>
      <c r="AK11" s="37"/>
      <c r="AL11" s="37"/>
      <c r="AM11" s="37"/>
      <c r="AN11" s="44"/>
      <c r="AO11" s="44"/>
      <c r="AP11" s="37"/>
      <c r="AQ11" s="45"/>
      <c r="AR11" s="37"/>
      <c r="AS11" s="37"/>
      <c r="AT11" s="37"/>
      <c r="AU11" s="37"/>
      <c r="AV11" s="37"/>
      <c r="AW11" s="37"/>
      <c r="AX11" s="37"/>
      <c r="AY11" s="46"/>
      <c r="AZ11" s="37"/>
    </row>
    <row r="12" spans="1:54" s="31" customFormat="1" ht="12.75" x14ac:dyDescent="0.2">
      <c r="A12" s="37"/>
      <c r="B12" s="37"/>
      <c r="C12" s="38"/>
      <c r="D12" s="37"/>
      <c r="E12" s="37"/>
      <c r="F12" s="38"/>
      <c r="G12" s="37"/>
      <c r="H12" s="37"/>
      <c r="I12" s="15"/>
      <c r="J12" s="37"/>
      <c r="K12" s="37"/>
      <c r="L12" s="37"/>
      <c r="M12" s="37"/>
      <c r="N12" s="39"/>
      <c r="O12" s="40"/>
      <c r="P12" s="40"/>
      <c r="Q12" s="39"/>
      <c r="R12" s="41"/>
      <c r="S12" s="41"/>
      <c r="T12" s="40"/>
      <c r="U12" s="39"/>
      <c r="V12" s="39"/>
      <c r="W12" s="39"/>
      <c r="X12" s="42"/>
      <c r="Y12" s="43"/>
      <c r="Z12" s="42"/>
      <c r="AA12" s="42"/>
      <c r="AB12" s="42"/>
      <c r="AC12" s="43"/>
      <c r="AD12" s="42"/>
      <c r="AE12" s="42"/>
      <c r="AF12" s="37"/>
      <c r="AG12" s="32" t="s">
        <v>128</v>
      </c>
      <c r="AH12" s="32"/>
      <c r="AI12" s="37"/>
      <c r="AJ12" s="37"/>
      <c r="AK12" s="37"/>
      <c r="AL12" s="37"/>
      <c r="AM12" s="37"/>
      <c r="AN12" s="44"/>
      <c r="AO12" s="44"/>
      <c r="AP12" s="37"/>
      <c r="AQ12" s="45"/>
      <c r="AR12" s="37"/>
      <c r="AS12" s="37"/>
      <c r="AT12" s="37"/>
      <c r="AU12" s="37"/>
      <c r="AW12" s="37"/>
      <c r="AX12" s="37"/>
      <c r="AY12" s="46"/>
      <c r="AZ12" s="37"/>
    </row>
    <row r="13" spans="1:54" s="63" customFormat="1" ht="12.75" x14ac:dyDescent="0.2">
      <c r="C13" s="71"/>
      <c r="F13" s="71"/>
      <c r="I13" s="80"/>
      <c r="N13" s="72"/>
      <c r="O13" s="73"/>
      <c r="P13" s="73"/>
      <c r="Q13" s="72"/>
      <c r="R13" s="74"/>
      <c r="S13" s="74"/>
      <c r="T13" s="73"/>
      <c r="U13" s="72"/>
      <c r="V13" s="72"/>
      <c r="W13" s="72"/>
      <c r="X13" s="75"/>
      <c r="Y13" s="76"/>
      <c r="Z13" s="75"/>
      <c r="AA13" s="75"/>
      <c r="AB13" s="75"/>
      <c r="AC13" s="76"/>
      <c r="AD13" s="75"/>
      <c r="AE13" s="75"/>
      <c r="AG13" s="81" t="s">
        <v>132</v>
      </c>
      <c r="AH13" s="81"/>
      <c r="AI13" s="63" t="s">
        <v>75</v>
      </c>
      <c r="AJ13" s="63" t="s">
        <v>76</v>
      </c>
      <c r="AL13" s="63" t="s">
        <v>78</v>
      </c>
      <c r="AM13" s="63" t="s">
        <v>79</v>
      </c>
      <c r="AN13" s="71" t="s">
        <v>135</v>
      </c>
      <c r="AO13" s="77"/>
      <c r="AQ13" s="78"/>
      <c r="AV13" s="63" t="s">
        <v>138</v>
      </c>
      <c r="AY13" s="79"/>
    </row>
    <row r="14" spans="1:54" s="81" customFormat="1" ht="12.75" x14ac:dyDescent="0.2">
      <c r="C14" s="80"/>
      <c r="F14" s="81" t="s">
        <v>88</v>
      </c>
      <c r="H14" s="81" t="s">
        <v>58</v>
      </c>
      <c r="I14" s="81" t="s">
        <v>66</v>
      </c>
      <c r="J14" s="63" t="s">
        <v>59</v>
      </c>
      <c r="L14" s="81" t="s">
        <v>109</v>
      </c>
      <c r="O14" s="81" t="s">
        <v>64</v>
      </c>
      <c r="P14" s="81" t="s">
        <v>65</v>
      </c>
      <c r="Q14" s="63" t="s">
        <v>115</v>
      </c>
      <c r="W14" s="81" t="s">
        <v>70</v>
      </c>
      <c r="AC14" s="80"/>
      <c r="AF14" s="82" t="s">
        <v>120</v>
      </c>
      <c r="AG14" s="81" t="s">
        <v>127</v>
      </c>
      <c r="AI14" s="81" t="s">
        <v>91</v>
      </c>
      <c r="AJ14" s="81" t="s">
        <v>93</v>
      </c>
      <c r="AL14" s="81" t="s">
        <v>91</v>
      </c>
      <c r="AM14" s="81" t="s">
        <v>91</v>
      </c>
      <c r="AN14" s="81" t="s">
        <v>136</v>
      </c>
      <c r="AQ14" s="83"/>
      <c r="AV14" s="63" t="s">
        <v>137</v>
      </c>
    </row>
    <row r="15" spans="1:54" s="81" customFormat="1" ht="12.75" x14ac:dyDescent="0.2">
      <c r="C15" s="80"/>
      <c r="F15" s="81" t="s">
        <v>94</v>
      </c>
      <c r="H15" s="81" t="s">
        <v>105</v>
      </c>
      <c r="I15" s="80" t="s">
        <v>107</v>
      </c>
      <c r="J15" s="81" t="s">
        <v>89</v>
      </c>
      <c r="L15" s="81" t="s">
        <v>90</v>
      </c>
      <c r="O15" s="80" t="s">
        <v>91</v>
      </c>
      <c r="P15" s="81" t="s">
        <v>92</v>
      </c>
      <c r="Q15" s="63" t="s">
        <v>114</v>
      </c>
      <c r="W15" s="81" t="s">
        <v>91</v>
      </c>
      <c r="AC15" s="80"/>
      <c r="AF15" s="82" t="s">
        <v>121</v>
      </c>
      <c r="AG15" s="81" t="s">
        <v>129</v>
      </c>
      <c r="AJ15" s="81" t="s">
        <v>98</v>
      </c>
      <c r="AQ15" s="83"/>
      <c r="AV15" s="81" t="s">
        <v>139</v>
      </c>
    </row>
    <row r="16" spans="1:54" s="81" customFormat="1" ht="12.75" x14ac:dyDescent="0.2">
      <c r="C16" s="80"/>
      <c r="F16" s="81" t="s">
        <v>99</v>
      </c>
      <c r="H16" s="81" t="s">
        <v>106</v>
      </c>
      <c r="I16" s="80" t="s">
        <v>108</v>
      </c>
      <c r="J16" s="81" t="s">
        <v>95</v>
      </c>
      <c r="L16" s="81" t="s">
        <v>96</v>
      </c>
      <c r="O16" s="80"/>
      <c r="P16" s="81" t="s">
        <v>97</v>
      </c>
      <c r="Q16" s="63" t="s">
        <v>117</v>
      </c>
      <c r="AC16" s="80"/>
      <c r="AF16" s="82" t="s">
        <v>122</v>
      </c>
      <c r="AG16" s="81" t="s">
        <v>131</v>
      </c>
      <c r="AJ16" s="81" t="s">
        <v>100</v>
      </c>
      <c r="AQ16" s="83"/>
      <c r="AV16" s="81" t="s">
        <v>140</v>
      </c>
    </row>
    <row r="17" spans="3:43" s="81" customFormat="1" ht="12.75" x14ac:dyDescent="0.2">
      <c r="C17" s="80"/>
      <c r="F17" s="81" t="s">
        <v>101</v>
      </c>
      <c r="I17" s="80"/>
      <c r="L17" s="81" t="s">
        <v>110</v>
      </c>
      <c r="O17" s="80"/>
      <c r="P17" s="81" t="s">
        <v>112</v>
      </c>
      <c r="Q17" s="63" t="s">
        <v>118</v>
      </c>
      <c r="AC17" s="80"/>
      <c r="AG17" s="81" t="s">
        <v>133</v>
      </c>
      <c r="AQ17" s="83"/>
    </row>
    <row r="18" spans="3:43" s="81" customFormat="1" ht="12.75" x14ac:dyDescent="0.2">
      <c r="C18" s="80"/>
      <c r="F18" s="80"/>
      <c r="I18" s="80"/>
      <c r="O18" s="80"/>
      <c r="P18" s="80"/>
      <c r="Q18" s="63" t="s">
        <v>116</v>
      </c>
      <c r="AC18" s="80"/>
      <c r="AG18" s="81" t="s">
        <v>130</v>
      </c>
      <c r="AQ18" s="83"/>
    </row>
    <row r="19" spans="3:43" s="81" customFormat="1" ht="12.75" x14ac:dyDescent="0.2">
      <c r="C19" s="80"/>
      <c r="F19" s="80"/>
      <c r="I19" s="80"/>
      <c r="O19" s="80"/>
      <c r="P19" s="80"/>
      <c r="AC19" s="80"/>
      <c r="AG19" s="81" t="s">
        <v>120</v>
      </c>
      <c r="AQ19" s="83"/>
    </row>
    <row r="20" spans="3:43" s="81" customFormat="1" ht="12.75" x14ac:dyDescent="0.2">
      <c r="C20" s="80"/>
      <c r="F20" s="80"/>
      <c r="I20" s="80"/>
      <c r="O20" s="80"/>
      <c r="P20" s="80"/>
      <c r="Q20" s="63"/>
      <c r="AC20" s="80"/>
      <c r="AG20" s="85" t="s">
        <v>122</v>
      </c>
      <c r="AQ20" s="83"/>
    </row>
  </sheetData>
  <mergeCells count="1">
    <mergeCell ref="AF6:AG6"/>
  </mergeCells>
  <dataValidations disablePrompts="1" count="1">
    <dataValidation type="list" allowBlank="1" showInputMessage="1" showErrorMessage="1" sqref="N15">
      <formula1>"YES,NO"</formula1>
    </dataValidation>
  </dataValidations>
  <hyperlinks>
    <hyperlink ref="N9" r:id="rId1"/>
  </hyperlinks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01. DAILY ITR CONTROL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casardapooja11@outlook.com</dc:creator>
  <cp:lastModifiedBy>admin</cp:lastModifiedBy>
  <dcterms:created xsi:type="dcterms:W3CDTF">2026-05-01T03:48:45Z</dcterms:created>
  <dcterms:modified xsi:type="dcterms:W3CDTF">2026-05-01T11:30:01Z</dcterms:modified>
</cp:coreProperties>
</file>